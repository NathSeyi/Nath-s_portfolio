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Employee payroll\"/>
    </mc:Choice>
  </mc:AlternateContent>
  <xr:revisionPtr revIDLastSave="0" documentId="13_ncr:1_{ADDFC33D-03BE-4BC6-BFDF-79D745C5E6BB}" xr6:coauthVersionLast="47" xr6:coauthVersionMax="47" xr10:uidLastSave="{00000000-0000-0000-0000-000000000000}"/>
  <bookViews>
    <workbookView xWindow="-98" yWindow="-98" windowWidth="19396" windowHeight="10276" activeTab="3" xr2:uid="{EF53D4C2-E6BE-44BF-8632-519A97D145EB}"/>
  </bookViews>
  <sheets>
    <sheet name="Sheet1" sheetId="1" r:id="rId1"/>
    <sheet name="Tables" sheetId="2" r:id="rId2"/>
    <sheet name="Charts" sheetId="5" r:id="rId3"/>
    <sheet name="Payroll Dashboard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6" l="1"/>
  <c r="F4" i="6"/>
  <c r="B4" i="6"/>
  <c r="D4" i="6"/>
  <c r="I2" i="1"/>
  <c r="I3" i="1"/>
  <c r="I4" i="1"/>
  <c r="I5" i="1"/>
  <c r="I6" i="1"/>
  <c r="I7" i="1"/>
  <c r="I8" i="1"/>
  <c r="I9" i="1"/>
  <c r="I10" i="1"/>
  <c r="I11" i="1"/>
  <c r="H2" i="1"/>
  <c r="H3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<sst xmlns="http://schemas.openxmlformats.org/spreadsheetml/2006/main" count="100" uniqueCount="45">
  <si>
    <t>Employee ID</t>
  </si>
  <si>
    <t>Department</t>
  </si>
  <si>
    <t>Gender</t>
  </si>
  <si>
    <t>Monthly Salary (₦)</t>
  </si>
  <si>
    <t>Overtime Pay (₦)</t>
  </si>
  <si>
    <t>Tax (₦)</t>
  </si>
  <si>
    <t>E001</t>
  </si>
  <si>
    <t>Finance</t>
  </si>
  <si>
    <t>Female</t>
  </si>
  <si>
    <t>E002</t>
  </si>
  <si>
    <t>HR</t>
  </si>
  <si>
    <t>Male</t>
  </si>
  <si>
    <t>E003</t>
  </si>
  <si>
    <t>IT</t>
  </si>
  <si>
    <t>E004</t>
  </si>
  <si>
    <t>Marketing</t>
  </si>
  <si>
    <t>E005</t>
  </si>
  <si>
    <t>E006</t>
  </si>
  <si>
    <t>E007</t>
  </si>
  <si>
    <t>E008</t>
  </si>
  <si>
    <t>E009</t>
  </si>
  <si>
    <t>E010</t>
  </si>
  <si>
    <t>Row Labels</t>
  </si>
  <si>
    <t>Grand Total</t>
  </si>
  <si>
    <t>Total Monthly Salary (₦)</t>
  </si>
  <si>
    <t>Total Overtime Pay (₦)</t>
  </si>
  <si>
    <t>Total payroll cost(#)</t>
  </si>
  <si>
    <t>Net Salary(#)</t>
  </si>
  <si>
    <t>NET SALARY BY DEPARTMENT</t>
  </si>
  <si>
    <t>Total Net Salary(#)</t>
  </si>
  <si>
    <t>MONTHLY SALARY BY DEPARTMENT</t>
  </si>
  <si>
    <t>Total Monthly Salary</t>
  </si>
  <si>
    <t>Total Payroll Cost</t>
  </si>
  <si>
    <t>Total Net Salary</t>
  </si>
  <si>
    <t>Sum of Total payroll cost(#)</t>
  </si>
  <si>
    <t>Payroll cost by Department</t>
  </si>
  <si>
    <t xml:space="preserve">Total Payroll cost(#) </t>
  </si>
  <si>
    <t>KEY PAYROLL INSIGHTS</t>
  </si>
  <si>
    <t>Insight</t>
  </si>
  <si>
    <t>Has the highest total payroll cost at #1,490,000.</t>
  </si>
  <si>
    <t>Has the second-highest total payroll at #1,207,000.</t>
  </si>
  <si>
    <t>Has the lowest total payroll cost at #625,000.</t>
  </si>
  <si>
    <t xml:space="preserve">Department Summary </t>
  </si>
  <si>
    <t>EMPLOYEE PAYROLL ANALYSIS DASHBOARD</t>
  </si>
  <si>
    <t>Total Overtime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</si>
</sst>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₦-468]\ * #,##0_-;\-[$₦-468]\ * #,##0_-;_-[$₦-468]\ * &quot;-&quot;_-;_-@_-"/>
    <numFmt numFmtId="165" formatCode="_-[$₦-470]* #,##0_-;\-[$₦-470]* #,##0_-;_-[$₦-470]* &quot;-&quot;_-;_-@_-"/>
  </numFmts>
  <fonts count="13" x14ac:knownFonts="1">
    <font>
      <sz val="11"/>
      <color theme="1"/>
      <name val="Calibri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14"/>
      <color theme="5" tint="-0.499984740745262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5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theme="5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2" xfId="0" applyFont="1" applyBorder="1" applyAlignment="1">
      <alignment vertical="center" wrapText="1"/>
    </xf>
    <xf numFmtId="3" fontId="0" fillId="0" borderId="0" xfId="0" applyNumberFormat="1"/>
    <xf numFmtId="3" fontId="2" fillId="0" borderId="2" xfId="0" applyNumberFormat="1" applyFont="1" applyBorder="1" applyAlignment="1">
      <alignment vertical="center" wrapText="1"/>
    </xf>
    <xf numFmtId="3" fontId="2" fillId="0" borderId="3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3" fontId="2" fillId="0" borderId="4" xfId="0" applyNumberFormat="1" applyFont="1" applyBorder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6" fillId="0" borderId="0" xfId="0" applyFont="1" applyAlignment="1">
      <alignment horizontal="left"/>
    </xf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7" fillId="3" borderId="0" xfId="0" applyNumberFormat="1" applyFont="1" applyFill="1" applyAlignment="1">
      <alignment horizontal="center"/>
    </xf>
    <xf numFmtId="3" fontId="7" fillId="0" borderId="0" xfId="0" applyNumberFormat="1" applyFont="1"/>
    <xf numFmtId="165" fontId="7" fillId="3" borderId="0" xfId="0" applyNumberFormat="1" applyFont="1" applyFill="1"/>
    <xf numFmtId="0" fontId="7" fillId="3" borderId="0" xfId="0" applyFont="1" applyFill="1" applyAlignment="1">
      <alignment horizontal="center"/>
    </xf>
    <xf numFmtId="165" fontId="7" fillId="3" borderId="0" xfId="0" applyNumberFormat="1" applyFont="1" applyFill="1" applyAlignment="1">
      <alignment horizontal="center"/>
    </xf>
    <xf numFmtId="165" fontId="0" fillId="0" borderId="0" xfId="0" applyNumberFormat="1"/>
    <xf numFmtId="0" fontId="1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2">
    <dxf>
      <numFmt numFmtId="165" formatCode="_-[$₦-470]* #,##0_-;\-[$₦-470]* #,##0_-;_-[$₦-470]* &quot;-&quot;_-;_-@_-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3" formatCode="#,##0"/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3" formatCode="#,##0"/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numFmt numFmtId="3" formatCode="#,##0"/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[Employee_Payroll_analysis.xlsx]Tables!PivotTable2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accent2">
                    <a:lumMod val="50000"/>
                  </a:schemeClr>
                </a:solidFill>
              </a:rPr>
              <a:t>Overtime</a:t>
            </a:r>
            <a:r>
              <a:rPr lang="en-US" sz="1600" baseline="0">
                <a:solidFill>
                  <a:schemeClr val="accent2">
                    <a:lumMod val="50000"/>
                  </a:schemeClr>
                </a:solidFill>
              </a:rPr>
              <a:t> Pay Expenditure by Department</a:t>
            </a:r>
            <a:endParaRPr lang="en-US" sz="1600">
              <a:solidFill>
                <a:schemeClr val="accent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Tables!$E$12:$E$16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Tables!$F$12:$F$16</c:f>
              <c:numCache>
                <c:formatCode>#,##0</c:formatCode>
                <c:ptCount val="4"/>
                <c:pt idx="0">
                  <c:v>77000</c:v>
                </c:pt>
                <c:pt idx="1">
                  <c:v>25000</c:v>
                </c:pt>
                <c:pt idx="2">
                  <c:v>120000</c:v>
                </c:pt>
                <c:pt idx="3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B-4747-841E-2D763E3A3E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8319992"/>
        <c:axId val="558321072"/>
      </c:barChart>
      <c:catAx>
        <c:axId val="558319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321072"/>
        <c:crosses val="autoZero"/>
        <c:auto val="1"/>
        <c:lblAlgn val="ctr"/>
        <c:lblOffset val="100"/>
        <c:noMultiLvlLbl val="0"/>
      </c:catAx>
      <c:valAx>
        <c:axId val="55832107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319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[Employee_Payroll_analysis.xlsx]Tables!PivotTable5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accent2">
                    <a:lumMod val="50000"/>
                  </a:schemeClr>
                </a:solidFill>
              </a:rPr>
              <a:t>Net</a:t>
            </a:r>
            <a:r>
              <a:rPr lang="en-US" sz="1600" baseline="0">
                <a:solidFill>
                  <a:schemeClr val="accent2">
                    <a:lumMod val="50000"/>
                  </a:schemeClr>
                </a:solidFill>
              </a:rPr>
              <a:t> Salary Expenditure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Tables!$B$13:$B$17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Tables!$C$13:$C$17</c:f>
              <c:numCache>
                <c:formatCode>#,##0</c:formatCode>
                <c:ptCount val="4"/>
                <c:pt idx="0">
                  <c:v>1094000</c:v>
                </c:pt>
                <c:pt idx="1">
                  <c:v>565000</c:v>
                </c:pt>
                <c:pt idx="2">
                  <c:v>1353000</c:v>
                </c:pt>
                <c:pt idx="3">
                  <c:v>551000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4-49F2-9767-C0105CC69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91144"/>
        <c:axId val="369307096"/>
      </c:barChart>
      <c:catAx>
        <c:axId val="106691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9307096"/>
        <c:crosses val="autoZero"/>
        <c:auto val="1"/>
        <c:lblAlgn val="ctr"/>
        <c:lblOffset val="100"/>
        <c:noMultiLvlLbl val="0"/>
      </c:catAx>
      <c:valAx>
        <c:axId val="369307096"/>
        <c:scaling>
          <c:orientation val="minMax"/>
        </c:scaling>
        <c:delete val="1"/>
        <c:axPos val="l"/>
        <c:numFmt formatCode="##,##0" sourceLinked="0"/>
        <c:majorTickMark val="out"/>
        <c:minorTickMark val="none"/>
        <c:tickLblPos val="nextTo"/>
        <c:crossAx val="106691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[Employee_Payroll_analysis.xlsx]Tables!PivotTable8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accent2">
                    <a:lumMod val="50000"/>
                  </a:schemeClr>
                </a:solidFill>
              </a:rPr>
              <a:t>Payroll</a:t>
            </a:r>
            <a:r>
              <a:rPr lang="en-US" sz="1600" baseline="0">
                <a:solidFill>
                  <a:schemeClr val="accent2">
                    <a:lumMod val="50000"/>
                  </a:schemeClr>
                </a:solidFill>
              </a:rPr>
              <a:t> Cost by Department</a:t>
            </a:r>
            <a:endParaRPr lang="en-US" sz="1600">
              <a:solidFill>
                <a:schemeClr val="accent2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19746386951929334"/>
          <c:y val="0.117144604266764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Tables!$C$21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Tables!$B$22:$B$26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Tables!$C$22:$C$26</c:f>
              <c:numCache>
                <c:formatCode>#,##0</c:formatCode>
                <c:ptCount val="4"/>
                <c:pt idx="0">
                  <c:v>1207000</c:v>
                </c:pt>
                <c:pt idx="1">
                  <c:v>625000</c:v>
                </c:pt>
                <c:pt idx="2">
                  <c:v>1490000</c:v>
                </c:pt>
                <c:pt idx="3">
                  <c:v>608000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E-4972-B884-AC6F61659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619544"/>
        <c:axId val="558626744"/>
      </c:barChart>
      <c:catAx>
        <c:axId val="558619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8626744"/>
        <c:crosses val="autoZero"/>
        <c:auto val="1"/>
        <c:lblAlgn val="ctr"/>
        <c:lblOffset val="100"/>
        <c:noMultiLvlLbl val="0"/>
      </c:catAx>
      <c:valAx>
        <c:axId val="55862674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558619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2032002</xdr:colOff>
      <xdr:row>5</xdr:row>
      <xdr:rowOff>144463</xdr:rowOff>
    </xdr:from>
    <xdr:to>
      <xdr:col>9</xdr:col>
      <xdr:colOff>23813</xdr:colOff>
      <xdr:row>21</xdr:row>
      <xdr:rowOff>7937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8D7373-553D-4D7F-90C8-9CEAEB85C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7938</xdr:colOff>
      <xdr:row>6</xdr:row>
      <xdr:rowOff>4762</xdr:rowOff>
    </xdr:from>
    <xdr:to>
      <xdr:col>4</xdr:col>
      <xdr:colOff>7937</xdr:colOff>
      <xdr:row>21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0DB8B9-00AB-4E43-9FBE-2D7435218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39686</xdr:colOff>
      <xdr:row>27</xdr:row>
      <xdr:rowOff>158748</xdr:rowOff>
    </xdr:from>
    <xdr:to>
      <xdr:col>3</xdr:col>
      <xdr:colOff>1595436</xdr:colOff>
      <xdr:row>40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19D990-E2B4-43BE-AC4E-39DF76FF2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tunji nathaniel" refreshedDate="46324.664751041666" createdVersion="8" refreshedVersion="8" minRefreshableVersion="3" recordCount="10" xr:uid="{5B4C9021-9D03-470C-BDD9-116467AF4ABD}">
  <cacheSource type="worksheet">
    <worksheetSource name="Table1"/>
  </cacheSource>
  <cacheFields count="8">
    <cacheField name="Employee ID" numFmtId="0">
      <sharedItems/>
    </cacheField>
    <cacheField name="Department" numFmtId="0">
      <sharedItems count="4">
        <s v="Finance"/>
        <s v="HR"/>
        <s v="IT"/>
        <s v="Marketing"/>
      </sharedItems>
    </cacheField>
    <cacheField name="Gender" numFmtId="0">
      <sharedItems/>
    </cacheField>
    <cacheField name="Monthly Salary (₦)" numFmtId="3">
      <sharedItems containsSemiMixedTypes="0" containsString="0" containsNumber="1" containsInteger="1" minValue="270000" maxValue="500000"/>
    </cacheField>
    <cacheField name="Overtime Pay (₦)" numFmtId="3">
      <sharedItems containsSemiMixedTypes="0" containsString="0" containsNumber="1" containsInteger="1" minValue="10000" maxValue="45000"/>
    </cacheField>
    <cacheField name="Tax (₦)" numFmtId="3">
      <sharedItems containsSemiMixedTypes="0" containsString="0" containsNumber="1" containsInteger="1" minValue="27000" maxValue="50000"/>
    </cacheField>
    <cacheField name="Total payroll cost(#)" numFmtId="3">
      <sharedItems containsSemiMixedTypes="0" containsString="0" containsNumber="1" containsInteger="1" minValue="288000" maxValue="535000"/>
    </cacheField>
    <cacheField name="Net Salary(#)" numFmtId="3">
      <sharedItems containsSemiMixedTypes="0" containsString="0" containsNumber="1" containsInteger="1" minValue="261000" maxValue="48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001"/>
    <x v="0"/>
    <s v="Female"/>
    <n v="350000"/>
    <n v="25000"/>
    <n v="35000"/>
    <n v="375000"/>
    <n v="340000"/>
  </r>
  <r>
    <s v="E002"/>
    <x v="1"/>
    <s v="Male"/>
    <n v="280000"/>
    <n v="15000"/>
    <n v="28000"/>
    <n v="295000"/>
    <n v="267000"/>
  </r>
  <r>
    <s v="E003"/>
    <x v="2"/>
    <s v="Male"/>
    <n v="450000"/>
    <n v="40000"/>
    <n v="45000"/>
    <n v="490000"/>
    <n v="445000"/>
  </r>
  <r>
    <s v="E004"/>
    <x v="3"/>
    <s v="Female"/>
    <n v="300000"/>
    <n v="20000"/>
    <n v="30000"/>
    <n v="320000"/>
    <n v="290000"/>
  </r>
  <r>
    <s v="E005"/>
    <x v="0"/>
    <s v="Male"/>
    <n v="400000"/>
    <n v="30000"/>
    <n v="40000"/>
    <n v="430000"/>
    <n v="390000"/>
  </r>
  <r>
    <s v="E006"/>
    <x v="2"/>
    <s v="Female"/>
    <n v="500000"/>
    <n v="35000"/>
    <n v="50000"/>
    <n v="535000"/>
    <n v="485000"/>
  </r>
  <r>
    <s v="E007"/>
    <x v="1"/>
    <s v="Female"/>
    <n v="320000"/>
    <n v="10000"/>
    <n v="32000"/>
    <n v="330000"/>
    <n v="298000"/>
  </r>
  <r>
    <s v="E008"/>
    <x v="3"/>
    <s v="Male"/>
    <n v="270000"/>
    <n v="18000"/>
    <n v="27000"/>
    <n v="288000"/>
    <n v="261000"/>
  </r>
  <r>
    <s v="E009"/>
    <x v="0"/>
    <s v="Female"/>
    <n v="380000"/>
    <n v="22000"/>
    <n v="38000"/>
    <n v="402000"/>
    <n v="364000"/>
  </r>
  <r>
    <s v="E010"/>
    <x v="2"/>
    <s v="Male"/>
    <n v="420000"/>
    <n v="45000"/>
    <n v="42000"/>
    <n v="465000"/>
    <n v="42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6BA7D-EC92-4D73-95B7-AF47539A4D6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partment">
  <location ref="B21:C26" firstHeaderRow="1" firstDataRow="1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3" showAll="0"/>
    <pivotField numFmtId="3" showAll="0"/>
    <pivotField numFmtId="3" showAll="0"/>
    <pivotField dataField="1" numFmtId="3" showAll="0"/>
    <pivotField numFmtId="3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ayroll cost(#)" fld="6" baseField="0" baseItem="0" numFmtId="3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74A24-C8D7-4E06-8173-71D187DDA2D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epartment">
  <location ref="E11:F16" firstHeaderRow="1" firstDataRow="1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3" showAll="0"/>
    <pivotField dataField="1" numFmtId="3" showAll="0"/>
    <pivotField numFmtId="3" showAll="0"/>
    <pivotField numFmtId="3" showAll="0"/>
    <pivotField numFmtId="3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Overtime Pay (₦)" fld="4" baseField="1" baseItem="0" numFmtId="3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29B16-240F-465F-95B9-CD9B48CE7B7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epartment" fieldListSortAscending="1">
  <location ref="B12:C17" firstHeaderRow="1" firstDataRow="1" firstDataCol="1"/>
  <pivotFields count="8">
    <pivotField showAll="0"/>
    <pivotField axis="axisRow" showAll="0" sortType="ascending">
      <items count="5">
        <item x="0"/>
        <item x="1"/>
        <item x="2"/>
        <item x="3"/>
        <item t="default"/>
      </items>
    </pivotField>
    <pivotField showAll="0"/>
    <pivotField numFmtId="3" showAll="0"/>
    <pivotField numFmtId="3" showAll="0"/>
    <pivotField numFmtId="3" showAll="0"/>
    <pivotField numFmtId="3" showAll="0"/>
    <pivotField dataField="1" numFmtId="3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Net Salary(#)" fld="7" baseField="1" baseItem="0" numFmtId="3"/>
  </dataFields>
  <chartFormats count="1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3A39F-0210-4A17-A481-9BF138BCA6F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D7" firstHeaderRow="1" firstDataRow="1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numFmtId="3" showAll="0"/>
    <pivotField numFmtId="3" showAll="0"/>
    <pivotField numFmtId="3" showAll="0"/>
    <pivotField numFmtId="3" showAll="0"/>
    <pivotField numFmtId="3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55A6B-74DD-4FA2-8A14-640C74B17C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8" firstHeaderRow="1" firstDataRow="1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numFmtId="3" showAll="0"/>
    <pivotField numFmtId="3" showAll="0"/>
    <pivotField numFmtId="3" showAll="0"/>
    <pivotField numFmtId="3" showAll="0"/>
    <pivotField numFmtId="3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Monthly Salary (₦)" fld="3" baseField="1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69A19-165F-42EB-948D-DEDD9C21ADD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F30:J35" firstHeaderRow="0" firstDataRow="1" firstDataCol="1"/>
  <pivotFields count="8">
    <pivotField showAll="0"/>
    <pivotField name="DepartmentSummary" axis="axisRow" showAll="0">
      <items count="5">
        <item x="0"/>
        <item x="1"/>
        <item x="2"/>
        <item x="3"/>
        <item t="default"/>
      </items>
    </pivotField>
    <pivotField showAll="0"/>
    <pivotField dataField="1" numFmtId="3" showAll="0"/>
    <pivotField dataField="1" numFmtId="3" showAll="0"/>
    <pivotField numFmtId="3" showAll="0"/>
    <pivotField dataField="1" numFmtId="3" showAll="0"/>
    <pivotField dataField="1" numFmtId="3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Monthly Salary (₦)" fld="3" baseField="1" baseItem="0" numFmtId="3"/>
    <dataField name="Total Overtime Pay (₦)" fld="4" baseField="1" baseItem="0" numFmtId="3"/>
    <dataField name="Total Payroll cost(#) " fld="6" baseField="1" baseItem="0" numFmtId="3"/>
    <dataField name="Total Net Salary(#)" fld="7" baseField="1" baseItem="0" numFmtId="3"/>
  </dataFields>
  <formats count="1">
    <format dxfId="0">
      <pivotArea outline="0" collapsedLevelsAreSubtotals="1" fieldPosition="0"/>
    </format>
  </formats>
  <pivotTableStyleInfo name="PivotStyleDark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831B08-A37E-4ADD-B67F-757A71D8D47A}" name="Table1" displayName="Table1" ref="B1:I11" totalsRowShown="0" headerRowDxfId="11" headerRowBorderDxfId="10" tableBorderDxfId="9">
  <autoFilter ref="B1:I11" xr:uid="{5F831B08-A37E-4ADD-B67F-757A71D8D47A}"/>
  <tableColumns count="8">
    <tableColumn id="1" xr3:uid="{FAEEA72F-E4E4-4406-94F4-6C99F4ADB6E9}" name="Employee ID" dataDxfId="8"/>
    <tableColumn id="2" xr3:uid="{6679E39E-5FAC-4C80-AA2D-4F4293FF7FA3}" name="Department" dataDxfId="7"/>
    <tableColumn id="3" xr3:uid="{19DA7B09-C855-4DE5-97AE-EACF93583D21}" name="Gender" dataDxfId="6"/>
    <tableColumn id="4" xr3:uid="{56B101E2-C003-4DAC-BA7B-ADEE06D7D8FE}" name="Monthly Salary (₦)" dataDxfId="5"/>
    <tableColumn id="5" xr3:uid="{A6923C69-5CE4-45F3-8D04-558776C59CB9}" name="Overtime Pay (₦)" dataDxfId="4"/>
    <tableColumn id="6" xr3:uid="{B437B083-4D0E-413C-9013-6999152F9AAA}" name="Tax (₦)" dataDxfId="3"/>
    <tableColumn id="7" xr3:uid="{83CD5C14-FEEB-4FBB-9844-28847CE44805}" name="Total payroll cost(#)" dataDxfId="2">
      <calculatedColumnFormula>E2+F2</calculatedColumnFormula>
    </tableColumn>
    <tableColumn id="8" xr3:uid="{C4066E2E-F9DF-480E-A208-5FE5FDED6987}" name="Net Salary(#)" dataDxfId="1">
      <calculatedColumnFormula>E2+F2-G2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4CCB-A14A-4FE7-8AE3-648438C11C7F}">
  <dimension ref="B1:I11"/>
  <sheetViews>
    <sheetView workbookViewId="0">
      <pane ySplit="1" topLeftCell="A2" activePane="bottomLeft" state="frozen"/>
      <selection pane="bottomLeft" activeCell="F6" sqref="F6"/>
    </sheetView>
  </sheetViews>
  <sheetFormatPr defaultRowHeight="14.25" x14ac:dyDescent="0.45"/>
  <cols>
    <col min="2" max="2" width="11.86328125" customWidth="1"/>
    <col min="3" max="3" width="11.53125" customWidth="1"/>
    <col min="5" max="5" width="16.6640625" customWidth="1"/>
    <col min="6" max="6" width="15.265625" customWidth="1"/>
    <col min="7" max="7" width="10.46484375" customWidth="1"/>
    <col min="8" max="8" width="16.265625" customWidth="1"/>
    <col min="9" max="9" width="12.1328125" customWidth="1"/>
  </cols>
  <sheetData>
    <row r="1" spans="2:9" ht="14.65" thickBot="1" x14ac:dyDescent="0.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9" t="s">
        <v>5</v>
      </c>
      <c r="H1" s="12" t="s">
        <v>26</v>
      </c>
      <c r="I1" s="12" t="s">
        <v>27</v>
      </c>
    </row>
    <row r="2" spans="2:9" ht="14.65" thickBot="1" x14ac:dyDescent="0.5">
      <c r="B2" s="1" t="s">
        <v>6</v>
      </c>
      <c r="C2" s="1" t="s">
        <v>7</v>
      </c>
      <c r="D2" s="1" t="s">
        <v>8</v>
      </c>
      <c r="E2" s="3">
        <v>350000</v>
      </c>
      <c r="F2" s="3">
        <v>25000</v>
      </c>
      <c r="G2" s="4">
        <v>35000</v>
      </c>
      <c r="H2" s="2">
        <f t="shared" ref="H2:H11" si="0">E2+F2</f>
        <v>375000</v>
      </c>
      <c r="I2" s="2">
        <f t="shared" ref="I2:I11" si="1">E2+F2-G2</f>
        <v>340000</v>
      </c>
    </row>
    <row r="3" spans="2:9" ht="14.65" thickBot="1" x14ac:dyDescent="0.5">
      <c r="B3" s="1" t="s">
        <v>9</v>
      </c>
      <c r="C3" s="1" t="s">
        <v>10</v>
      </c>
      <c r="D3" s="1" t="s">
        <v>11</v>
      </c>
      <c r="E3" s="3">
        <v>280000</v>
      </c>
      <c r="F3" s="3">
        <v>15000</v>
      </c>
      <c r="G3" s="4">
        <v>28000</v>
      </c>
      <c r="H3" s="2">
        <f t="shared" si="0"/>
        <v>295000</v>
      </c>
      <c r="I3" s="2">
        <f t="shared" si="1"/>
        <v>267000</v>
      </c>
    </row>
    <row r="4" spans="2:9" ht="14.65" thickBot="1" x14ac:dyDescent="0.5">
      <c r="B4" s="1" t="s">
        <v>12</v>
      </c>
      <c r="C4" s="1" t="s">
        <v>13</v>
      </c>
      <c r="D4" s="1" t="s">
        <v>11</v>
      </c>
      <c r="E4" s="3">
        <v>450000</v>
      </c>
      <c r="F4" s="3">
        <v>40000</v>
      </c>
      <c r="G4" s="4">
        <v>45000</v>
      </c>
      <c r="H4" s="2">
        <f t="shared" si="0"/>
        <v>490000</v>
      </c>
      <c r="I4" s="2">
        <f t="shared" si="1"/>
        <v>445000</v>
      </c>
    </row>
    <row r="5" spans="2:9" ht="14.65" thickBot="1" x14ac:dyDescent="0.5">
      <c r="B5" s="1" t="s">
        <v>14</v>
      </c>
      <c r="C5" s="1" t="s">
        <v>15</v>
      </c>
      <c r="D5" s="1" t="s">
        <v>8</v>
      </c>
      <c r="E5" s="3">
        <v>300000</v>
      </c>
      <c r="F5" s="3">
        <v>20000</v>
      </c>
      <c r="G5" s="4">
        <v>30000</v>
      </c>
      <c r="H5" s="2">
        <f t="shared" si="0"/>
        <v>320000</v>
      </c>
      <c r="I5" s="2">
        <f t="shared" si="1"/>
        <v>290000</v>
      </c>
    </row>
    <row r="6" spans="2:9" ht="14.65" thickBot="1" x14ac:dyDescent="0.5">
      <c r="B6" s="1" t="s">
        <v>16</v>
      </c>
      <c r="C6" s="1" t="s">
        <v>7</v>
      </c>
      <c r="D6" s="1" t="s">
        <v>11</v>
      </c>
      <c r="E6" s="3">
        <v>400000</v>
      </c>
      <c r="F6" s="3">
        <v>30000</v>
      </c>
      <c r="G6" s="4">
        <v>40000</v>
      </c>
      <c r="H6" s="2">
        <f t="shared" si="0"/>
        <v>430000</v>
      </c>
      <c r="I6" s="2">
        <f t="shared" si="1"/>
        <v>390000</v>
      </c>
    </row>
    <row r="7" spans="2:9" ht="14.65" thickBot="1" x14ac:dyDescent="0.5">
      <c r="B7" s="1" t="s">
        <v>17</v>
      </c>
      <c r="C7" s="1" t="s">
        <v>13</v>
      </c>
      <c r="D7" s="1" t="s">
        <v>8</v>
      </c>
      <c r="E7" s="3">
        <v>500000</v>
      </c>
      <c r="F7" s="3">
        <v>35000</v>
      </c>
      <c r="G7" s="4">
        <v>50000</v>
      </c>
      <c r="H7" s="2">
        <f t="shared" si="0"/>
        <v>535000</v>
      </c>
      <c r="I7" s="2">
        <f t="shared" si="1"/>
        <v>485000</v>
      </c>
    </row>
    <row r="8" spans="2:9" ht="14.65" thickBot="1" x14ac:dyDescent="0.5">
      <c r="B8" s="1" t="s">
        <v>18</v>
      </c>
      <c r="C8" s="1" t="s">
        <v>10</v>
      </c>
      <c r="D8" s="1" t="s">
        <v>8</v>
      </c>
      <c r="E8" s="3">
        <v>320000</v>
      </c>
      <c r="F8" s="3">
        <v>10000</v>
      </c>
      <c r="G8" s="4">
        <v>32000</v>
      </c>
      <c r="H8" s="2">
        <f t="shared" si="0"/>
        <v>330000</v>
      </c>
      <c r="I8" s="2">
        <f t="shared" si="1"/>
        <v>298000</v>
      </c>
    </row>
    <row r="9" spans="2:9" ht="14.65" thickBot="1" x14ac:dyDescent="0.5">
      <c r="B9" s="1" t="s">
        <v>19</v>
      </c>
      <c r="C9" s="1" t="s">
        <v>15</v>
      </c>
      <c r="D9" s="1" t="s">
        <v>11</v>
      </c>
      <c r="E9" s="3">
        <v>270000</v>
      </c>
      <c r="F9" s="3">
        <v>18000</v>
      </c>
      <c r="G9" s="4">
        <v>27000</v>
      </c>
      <c r="H9" s="2">
        <f t="shared" si="0"/>
        <v>288000</v>
      </c>
      <c r="I9" s="2">
        <f t="shared" si="1"/>
        <v>261000</v>
      </c>
    </row>
    <row r="10" spans="2:9" ht="14.65" thickBot="1" x14ac:dyDescent="0.5">
      <c r="B10" s="1" t="s">
        <v>20</v>
      </c>
      <c r="C10" s="1" t="s">
        <v>7</v>
      </c>
      <c r="D10" s="1" t="s">
        <v>8</v>
      </c>
      <c r="E10" s="3">
        <v>380000</v>
      </c>
      <c r="F10" s="3">
        <v>22000</v>
      </c>
      <c r="G10" s="4">
        <v>38000</v>
      </c>
      <c r="H10" s="2">
        <f t="shared" si="0"/>
        <v>402000</v>
      </c>
      <c r="I10" s="2">
        <f t="shared" si="1"/>
        <v>364000</v>
      </c>
    </row>
    <row r="11" spans="2:9" x14ac:dyDescent="0.45">
      <c r="B11" s="6" t="s">
        <v>21</v>
      </c>
      <c r="C11" s="6" t="s">
        <v>13</v>
      </c>
      <c r="D11" s="6" t="s">
        <v>11</v>
      </c>
      <c r="E11" s="7">
        <v>420000</v>
      </c>
      <c r="F11" s="7">
        <v>45000</v>
      </c>
      <c r="G11" s="8">
        <v>42000</v>
      </c>
      <c r="H11" s="2">
        <f t="shared" si="0"/>
        <v>465000</v>
      </c>
      <c r="I11" s="2">
        <f t="shared" si="1"/>
        <v>423000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54CE-0B97-4EEF-BB48-01DDB0CB1209}">
  <dimension ref="A2:F26"/>
  <sheetViews>
    <sheetView workbookViewId="0">
      <selection activeCell="B20" sqref="B20:C26"/>
    </sheetView>
  </sheetViews>
  <sheetFormatPr defaultRowHeight="14.25" x14ac:dyDescent="0.45"/>
  <cols>
    <col min="1" max="1" width="12.06640625" bestFit="1" customWidth="1"/>
    <col min="2" max="2" width="12.796875" bestFit="1" customWidth="1"/>
    <col min="3" max="3" width="20.6640625" bestFit="1" customWidth="1"/>
    <col min="4" max="4" width="19.3984375" bestFit="1" customWidth="1"/>
    <col min="5" max="5" width="17.33203125" bestFit="1" customWidth="1"/>
    <col min="6" max="6" width="15.73046875" bestFit="1" customWidth="1"/>
  </cols>
  <sheetData>
    <row r="2" spans="1:6" ht="15.75" x14ac:dyDescent="0.5">
      <c r="A2" s="14" t="s">
        <v>30</v>
      </c>
      <c r="D2" s="10" t="s">
        <v>22</v>
      </c>
    </row>
    <row r="3" spans="1:6" x14ac:dyDescent="0.45">
      <c r="A3" s="10" t="s">
        <v>1</v>
      </c>
      <c r="B3" t="s">
        <v>24</v>
      </c>
      <c r="D3" s="11" t="s">
        <v>7</v>
      </c>
    </row>
    <row r="4" spans="1:6" x14ac:dyDescent="0.45">
      <c r="A4" s="11" t="s">
        <v>7</v>
      </c>
      <c r="B4" s="2">
        <v>1130000</v>
      </c>
      <c r="D4" s="11" t="s">
        <v>10</v>
      </c>
    </row>
    <row r="5" spans="1:6" x14ac:dyDescent="0.45">
      <c r="A5" s="11" t="s">
        <v>10</v>
      </c>
      <c r="B5" s="2">
        <v>600000</v>
      </c>
      <c r="D5" s="11" t="s">
        <v>13</v>
      </c>
    </row>
    <row r="6" spans="1:6" x14ac:dyDescent="0.45">
      <c r="A6" s="11" t="s">
        <v>13</v>
      </c>
      <c r="B6" s="2">
        <v>1370000</v>
      </c>
      <c r="D6" s="11" t="s">
        <v>15</v>
      </c>
    </row>
    <row r="7" spans="1:6" x14ac:dyDescent="0.45">
      <c r="A7" s="11" t="s">
        <v>15</v>
      </c>
      <c r="B7" s="2">
        <v>570000</v>
      </c>
      <c r="D7" s="11" t="s">
        <v>23</v>
      </c>
    </row>
    <row r="8" spans="1:6" x14ac:dyDescent="0.45">
      <c r="A8" s="11" t="s">
        <v>23</v>
      </c>
      <c r="B8" s="2">
        <v>3670000</v>
      </c>
    </row>
    <row r="11" spans="1:6" ht="18" x14ac:dyDescent="0.55000000000000004">
      <c r="B11" s="27" t="s">
        <v>28</v>
      </c>
      <c r="C11" s="27"/>
      <c r="E11" s="10" t="s">
        <v>1</v>
      </c>
      <c r="F11" t="s">
        <v>25</v>
      </c>
    </row>
    <row r="12" spans="1:6" x14ac:dyDescent="0.45">
      <c r="B12" s="10" t="s">
        <v>1</v>
      </c>
      <c r="C12" t="s">
        <v>29</v>
      </c>
      <c r="E12" s="11" t="s">
        <v>7</v>
      </c>
      <c r="F12" s="2">
        <v>77000</v>
      </c>
    </row>
    <row r="13" spans="1:6" x14ac:dyDescent="0.45">
      <c r="B13" s="11" t="s">
        <v>7</v>
      </c>
      <c r="C13" s="2">
        <v>1094000</v>
      </c>
      <c r="E13" s="11" t="s">
        <v>10</v>
      </c>
      <c r="F13" s="2">
        <v>25000</v>
      </c>
    </row>
    <row r="14" spans="1:6" x14ac:dyDescent="0.45">
      <c r="B14" s="11" t="s">
        <v>10</v>
      </c>
      <c r="C14" s="2">
        <v>565000</v>
      </c>
      <c r="E14" s="11" t="s">
        <v>13</v>
      </c>
      <c r="F14" s="2">
        <v>120000</v>
      </c>
    </row>
    <row r="15" spans="1:6" x14ac:dyDescent="0.45">
      <c r="B15" s="11" t="s">
        <v>13</v>
      </c>
      <c r="C15" s="2">
        <v>1353000</v>
      </c>
      <c r="E15" s="11" t="s">
        <v>15</v>
      </c>
      <c r="F15" s="2">
        <v>38000</v>
      </c>
    </row>
    <row r="16" spans="1:6" x14ac:dyDescent="0.45">
      <c r="B16" s="11" t="s">
        <v>15</v>
      </c>
      <c r="C16" s="2">
        <v>551000</v>
      </c>
      <c r="E16" s="11" t="s">
        <v>23</v>
      </c>
      <c r="F16" s="2">
        <v>260000</v>
      </c>
    </row>
    <row r="17" spans="2:3" x14ac:dyDescent="0.45">
      <c r="B17" s="11" t="s">
        <v>23</v>
      </c>
      <c r="C17" s="2">
        <v>3563000</v>
      </c>
    </row>
    <row r="20" spans="2:3" ht="18" x14ac:dyDescent="0.55000000000000004">
      <c r="B20" s="13" t="s">
        <v>35</v>
      </c>
    </row>
    <row r="21" spans="2:3" x14ac:dyDescent="0.45">
      <c r="B21" s="10" t="s">
        <v>1</v>
      </c>
      <c r="C21" t="s">
        <v>34</v>
      </c>
    </row>
    <row r="22" spans="2:3" x14ac:dyDescent="0.45">
      <c r="B22" s="11" t="s">
        <v>7</v>
      </c>
      <c r="C22" s="2">
        <v>1207000</v>
      </c>
    </row>
    <row r="23" spans="2:3" x14ac:dyDescent="0.45">
      <c r="B23" s="11" t="s">
        <v>10</v>
      </c>
      <c r="C23" s="2">
        <v>625000</v>
      </c>
    </row>
    <row r="24" spans="2:3" x14ac:dyDescent="0.45">
      <c r="B24" s="11" t="s">
        <v>13</v>
      </c>
      <c r="C24" s="2">
        <v>1490000</v>
      </c>
    </row>
    <row r="25" spans="2:3" x14ac:dyDescent="0.45">
      <c r="B25" s="11" t="s">
        <v>15</v>
      </c>
      <c r="C25" s="2">
        <v>608000</v>
      </c>
    </row>
    <row r="26" spans="2:3" x14ac:dyDescent="0.45">
      <c r="B26" s="11" t="s">
        <v>23</v>
      </c>
      <c r="C26" s="2">
        <v>3930000</v>
      </c>
    </row>
  </sheetData>
  <mergeCells count="1">
    <mergeCell ref="B11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2C26-0A3B-44BD-9107-1C13CBE6C98D}">
  <dimension ref="A1"/>
  <sheetViews>
    <sheetView topLeftCell="A2" workbookViewId="0">
      <selection activeCell="A15" sqref="A15"/>
    </sheetView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F048-867A-44D1-B99C-94804585B777}">
  <dimension ref="A1:J41"/>
  <sheetViews>
    <sheetView tabSelected="1" topLeftCell="A3" zoomScale="60" zoomScaleNormal="60" workbookViewId="0">
      <selection activeCell="N31" sqref="N31"/>
    </sheetView>
  </sheetViews>
  <sheetFormatPr defaultRowHeight="14.25" x14ac:dyDescent="0.45"/>
  <cols>
    <col min="1" max="1" width="15.46484375" customWidth="1"/>
    <col min="2" max="2" width="26.53125" bestFit="1" customWidth="1"/>
    <col min="3" max="3" width="21" customWidth="1"/>
    <col min="4" max="4" width="22.3984375" bestFit="1" customWidth="1"/>
    <col min="5" max="5" width="28.59765625" bestFit="1" customWidth="1"/>
    <col min="6" max="7" width="21.86328125" bestFit="1" customWidth="1"/>
    <col min="8" max="8" width="30.53125" customWidth="1"/>
    <col min="9" max="9" width="18.265625" bestFit="1" customWidth="1"/>
    <col min="10" max="10" width="16.9296875" bestFit="1" customWidth="1"/>
  </cols>
  <sheetData>
    <row r="1" spans="1:8" ht="33.4" x14ac:dyDescent="1">
      <c r="A1" s="30" t="s">
        <v>43</v>
      </c>
      <c r="B1" s="31"/>
      <c r="C1" s="31"/>
      <c r="D1" s="31"/>
      <c r="E1" s="31"/>
      <c r="F1" s="31"/>
      <c r="G1" s="31"/>
      <c r="H1" s="31"/>
    </row>
    <row r="3" spans="1:8" ht="21" x14ac:dyDescent="0.65">
      <c r="B3" s="20" t="s">
        <v>31</v>
      </c>
      <c r="D3" s="20" t="s">
        <v>32</v>
      </c>
      <c r="E3" s="19"/>
      <c r="F3" s="20" t="s">
        <v>33</v>
      </c>
      <c r="H3" s="23" t="s">
        <v>44</v>
      </c>
    </row>
    <row r="4" spans="1:8" ht="21" x14ac:dyDescent="0.65">
      <c r="A4" s="18"/>
      <c r="B4" s="22">
        <f>SUM(Table1[Monthly Salary (₦)])</f>
        <v>3670000</v>
      </c>
      <c r="C4" s="18"/>
      <c r="D4" s="22">
        <f>SUM(Table1[Total payroll cost('#)])</f>
        <v>3930000</v>
      </c>
      <c r="E4" s="17"/>
      <c r="F4" s="22">
        <f>SUM(Table1[Net Salary('#)])</f>
        <v>3563000</v>
      </c>
      <c r="G4" s="21"/>
      <c r="H4" s="24">
        <f>SUM(Table1[Overtime Pay (₦)])</f>
        <v>260000</v>
      </c>
    </row>
    <row r="5" spans="1:8" x14ac:dyDescent="0.45">
      <c r="E5" s="15"/>
    </row>
    <row r="29" spans="6:10" ht="25.5" x14ac:dyDescent="0.75">
      <c r="F29" s="31" t="s">
        <v>42</v>
      </c>
      <c r="G29" s="31"/>
      <c r="H29" s="31"/>
    </row>
    <row r="30" spans="6:10" x14ac:dyDescent="0.45">
      <c r="F30" s="10" t="s">
        <v>1</v>
      </c>
      <c r="G30" t="s">
        <v>24</v>
      </c>
      <c r="H30" t="s">
        <v>25</v>
      </c>
      <c r="I30" t="s">
        <v>36</v>
      </c>
      <c r="J30" t="s">
        <v>29</v>
      </c>
    </row>
    <row r="31" spans="6:10" x14ac:dyDescent="0.45">
      <c r="F31" s="11" t="s">
        <v>7</v>
      </c>
      <c r="G31" s="25">
        <v>1130000</v>
      </c>
      <c r="H31" s="25">
        <v>77000</v>
      </c>
      <c r="I31" s="25">
        <v>1207000</v>
      </c>
      <c r="J31" s="25">
        <v>1094000</v>
      </c>
    </row>
    <row r="32" spans="6:10" x14ac:dyDescent="0.45">
      <c r="F32" s="11" t="s">
        <v>10</v>
      </c>
      <c r="G32" s="25">
        <v>600000</v>
      </c>
      <c r="H32" s="25">
        <v>25000</v>
      </c>
      <c r="I32" s="25">
        <v>625000</v>
      </c>
      <c r="J32" s="25">
        <v>565000</v>
      </c>
    </row>
    <row r="33" spans="6:10" x14ac:dyDescent="0.45">
      <c r="F33" s="11" t="s">
        <v>13</v>
      </c>
      <c r="G33" s="25">
        <v>1370000</v>
      </c>
      <c r="H33" s="25">
        <v>120000</v>
      </c>
      <c r="I33" s="25">
        <v>1490000</v>
      </c>
      <c r="J33" s="25">
        <v>1353000</v>
      </c>
    </row>
    <row r="34" spans="6:10" x14ac:dyDescent="0.45">
      <c r="F34" s="11" t="s">
        <v>15</v>
      </c>
      <c r="G34" s="25">
        <v>570000</v>
      </c>
      <c r="H34" s="25">
        <v>38000</v>
      </c>
      <c r="I34" s="25">
        <v>608000</v>
      </c>
      <c r="J34" s="25">
        <v>551000</v>
      </c>
    </row>
    <row r="35" spans="6:10" x14ac:dyDescent="0.45">
      <c r="F35" s="11" t="s">
        <v>23</v>
      </c>
      <c r="G35" s="25">
        <v>3670000</v>
      </c>
      <c r="H35" s="25">
        <v>260000</v>
      </c>
      <c r="I35" s="25">
        <v>3930000</v>
      </c>
      <c r="J35" s="25">
        <v>3563000</v>
      </c>
    </row>
    <row r="37" spans="6:10" ht="23.25" x14ac:dyDescent="0.7">
      <c r="F37" s="28" t="s">
        <v>37</v>
      </c>
      <c r="G37" s="28"/>
    </row>
    <row r="38" spans="6:10" ht="18" x14ac:dyDescent="0.55000000000000004">
      <c r="F38" s="16" t="s">
        <v>1</v>
      </c>
      <c r="G38" s="32" t="s">
        <v>38</v>
      </c>
      <c r="H38" s="32"/>
    </row>
    <row r="39" spans="6:10" ht="18" x14ac:dyDescent="0.55000000000000004">
      <c r="F39" s="26" t="s">
        <v>13</v>
      </c>
      <c r="G39" s="29" t="s">
        <v>39</v>
      </c>
      <c r="H39" s="29"/>
    </row>
    <row r="40" spans="6:10" ht="18" x14ac:dyDescent="0.55000000000000004">
      <c r="F40" s="26" t="s">
        <v>7</v>
      </c>
      <c r="G40" s="29" t="s">
        <v>40</v>
      </c>
      <c r="H40" s="29"/>
    </row>
    <row r="41" spans="6:10" ht="18" x14ac:dyDescent="0.55000000000000004">
      <c r="F41" s="26" t="s">
        <v>10</v>
      </c>
      <c r="G41" s="29" t="s">
        <v>41</v>
      </c>
      <c r="H41" s="29"/>
    </row>
  </sheetData>
  <mergeCells count="7">
    <mergeCell ref="F37:G37"/>
    <mergeCell ref="G39:H39"/>
    <mergeCell ref="G40:H40"/>
    <mergeCell ref="G41:H41"/>
    <mergeCell ref="A1:H1"/>
    <mergeCell ref="F29:H29"/>
    <mergeCell ref="G38:H38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Tables</vt:lpstr>
      <vt:lpstr>Charts</vt:lpstr>
      <vt:lpstr>Payroll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olatunji nathaniel</dc:creator>
  <cp:lastModifiedBy>olatunji nathaniel</cp:lastModifiedBy>
  <dcterms:created xsi:type="dcterms:W3CDTF">2026-10-29T14:05:34Z</dcterms:created>
  <dcterms:modified xsi:type="dcterms:W3CDTF">2026-10-30T12:37:57Z</dcterms:modified>
</cp:coreProperties>
</file>